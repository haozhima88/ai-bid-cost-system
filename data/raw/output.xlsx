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ozh\Documents\ai+openclaw\"/>
    </mc:Choice>
  </mc:AlternateContent>
  <xr:revisionPtr revIDLastSave="0" documentId="13_ncr:1_{9068112D-9DCB-4F03-87D2-A7891F2399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劳务目标成本测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38" i="1"/>
  <c r="F39" i="1"/>
  <c r="F29" i="1"/>
  <c r="F30" i="1"/>
  <c r="F31" i="1"/>
  <c r="F32" i="1"/>
  <c r="F33" i="1"/>
  <c r="F34" i="1"/>
  <c r="F35" i="1"/>
  <c r="F36" i="1"/>
  <c r="F37" i="1"/>
  <c r="F28" i="1"/>
  <c r="F3" i="1"/>
  <c r="F27" i="1"/>
  <c r="F26" i="1"/>
  <c r="G25" i="1"/>
  <c r="G24" i="1"/>
  <c r="G22" i="1"/>
  <c r="G20" i="1"/>
  <c r="F20" i="1" s="1"/>
  <c r="G19" i="1"/>
  <c r="F19" i="1" s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F4" i="1"/>
  <c r="F24" i="1" l="1"/>
  <c r="F25" i="1"/>
  <c r="F22" i="1"/>
  <c r="F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</author>
  </authors>
  <commentList>
    <comment ref="O18" authorId="0" shapeId="0" xr:uid="{B67004BB-62B9-4E89-AF62-FEA472261885}">
      <text>
        <r>
          <rPr>
            <b/>
            <sz val="9"/>
            <rFont val="宋体"/>
          </rPr>
          <t>Windows:</t>
        </r>
        <r>
          <rPr>
            <sz val="9"/>
            <rFont val="宋体"/>
          </rPr>
          <t xml:space="preserve">
国内900-1000元/吨</t>
        </r>
      </text>
    </comment>
  </commentList>
</comments>
</file>

<file path=xl/sharedStrings.xml><?xml version="1.0" encoding="utf-8"?>
<sst xmlns="http://schemas.openxmlformats.org/spreadsheetml/2006/main" count="162" uniqueCount="92">
  <si>
    <t>序号</t>
  </si>
  <si>
    <t>工   种</t>
  </si>
  <si>
    <t>项 目 名 称</t>
  </si>
  <si>
    <t>项目特征描述</t>
  </si>
  <si>
    <t>计量单位</t>
  </si>
  <si>
    <t>基坑支护</t>
  </si>
  <si>
    <t>人工费
单价</t>
  </si>
  <si>
    <t>材料费
单价</t>
  </si>
  <si>
    <t>机械费
单价</t>
  </si>
  <si>
    <t>小计</t>
  </si>
  <si>
    <t>人工费合计</t>
  </si>
  <si>
    <t>材料费合计</t>
  </si>
  <si>
    <t>机械费合计</t>
  </si>
  <si>
    <t>含税合价（元）</t>
  </si>
  <si>
    <t>土石方工程</t>
  </si>
  <si>
    <t>挖基坑土方</t>
  </si>
  <si>
    <t>m3</t>
  </si>
  <si>
    <t>回填土（借土）</t>
  </si>
  <si>
    <t>挖粗砂</t>
  </si>
  <si>
    <t>回填6%水泥石粉渣</t>
  </si>
  <si>
    <t>余方弃置</t>
  </si>
  <si>
    <t>地基处理与边坡支护工程</t>
  </si>
  <si>
    <t>m</t>
  </si>
  <si>
    <t>桩基工程</t>
  </si>
  <si>
    <t>根</t>
  </si>
  <si>
    <t>t</t>
  </si>
  <si>
    <t>钢护筒</t>
  </si>
  <si>
    <t>截桩头 1000灌注桩</t>
  </si>
  <si>
    <t>截桩头 1200灌注桩</t>
  </si>
  <si>
    <t>m2</t>
  </si>
  <si>
    <t>2.厚度:800mm</t>
  </si>
  <si>
    <t>座</t>
  </si>
  <si>
    <t>排水沟</t>
  </si>
  <si>
    <t>集水井</t>
  </si>
  <si>
    <t>劳务目标成本测算</t>
    <phoneticPr fontId="2" type="noConversion"/>
  </si>
  <si>
    <t>1.土类别:以地质勘察报告为准
2.开挖深度:基坑深度</t>
    <phoneticPr fontId="2" type="noConversion"/>
  </si>
  <si>
    <t>1.填方部位:基坑回填土
2.材料品种:素土
3.密实度:按设计要求</t>
    <phoneticPr fontId="2" type="noConversion"/>
  </si>
  <si>
    <t>1.挖粗砂
2.运至建设单位指定场地</t>
    <phoneticPr fontId="2" type="noConversion"/>
  </si>
  <si>
    <t>1.填方部位:基坑回填土
2.材料品种:回填6%水泥石粉渣
3.密实度:按设计要求</t>
    <phoneticPr fontId="2" type="noConversion"/>
  </si>
  <si>
    <t>1、土石类别:土方
2、外运，运距综合考虑</t>
    <phoneticPr fontId="2" type="noConversion"/>
  </si>
  <si>
    <t>850 三轴水泥搅拌桩</t>
    <phoneticPr fontId="2" type="noConversion"/>
  </si>
  <si>
    <t>4*S15.2预应力锚索</t>
    <phoneticPr fontId="2" type="noConversion"/>
  </si>
  <si>
    <r>
      <t>1.地层类别:以地质勘察报告为准
2.桩截面尺寸:3×</t>
    </r>
    <r>
      <rPr>
        <sz val="10"/>
        <rFont val="Calibri"/>
        <family val="2"/>
      </rPr>
      <t>Φ</t>
    </r>
    <r>
      <rPr>
        <sz val="10"/>
        <rFont val="宋体"/>
      </rPr>
      <t>850
3.做法、搅拌要求:三轴
4.水泥强度等级、掺量:42.5R,360kg/m</t>
    </r>
    <phoneticPr fontId="2" type="noConversion"/>
  </si>
  <si>
    <t>1.地层类别:以地质勘察报告为准
2.锚杆(索)类型、深度、部位:预应力锚索4×S15.2
3.预应力值:拉力标准值500kN,锁定值
400kN(如遇中风化岩层,锚索最小长度不小于18米,入中风化岩层不少于5米)
4.浆液种类、强度等级:水灰比约0.45～0.50的纯水泥浆,浆体28d无侧限抗压强度不低于25Mp</t>
    <phoneticPr fontId="2" type="noConversion"/>
  </si>
  <si>
    <r>
      <t>格构柱</t>
    </r>
    <r>
      <rPr>
        <sz val="10"/>
        <rFont val="Calibri"/>
        <family val="2"/>
      </rPr>
      <t>φ</t>
    </r>
    <r>
      <rPr>
        <sz val="10"/>
        <rFont val="宋体"/>
      </rPr>
      <t>1000灌注桩</t>
    </r>
    <phoneticPr fontId="2" type="noConversion"/>
  </si>
  <si>
    <r>
      <t>1.地层类别:以地质勘察报告为准
2.空桩长度、桩长:按设计长度
3.桩径:</t>
    </r>
    <r>
      <rPr>
        <sz val="10"/>
        <rFont val="Calibri"/>
        <family val="2"/>
      </rPr>
      <t>Φ</t>
    </r>
    <r>
      <rPr>
        <sz val="10"/>
        <rFont val="宋体"/>
      </rPr>
      <t>1000mm
4.混凝土种类、强度等级:水下商品混凝土 C25</t>
    </r>
    <phoneticPr fontId="2" type="noConversion"/>
  </si>
  <si>
    <r>
      <rPr>
        <sz val="10"/>
        <rFont val="Calibri"/>
        <family val="2"/>
      </rPr>
      <t>φ1200</t>
    </r>
    <r>
      <rPr>
        <sz val="10"/>
        <rFont val="宋体"/>
      </rPr>
      <t>灌注桩</t>
    </r>
    <phoneticPr fontId="2" type="noConversion"/>
  </si>
  <si>
    <r>
      <t>格构柱</t>
    </r>
    <r>
      <rPr>
        <sz val="10"/>
        <rFont val="Calibri"/>
        <family val="2"/>
      </rPr>
      <t>φ</t>
    </r>
    <r>
      <rPr>
        <sz val="10"/>
        <rFont val="宋体"/>
      </rPr>
      <t>1000灌注桩（空桩）</t>
    </r>
    <phoneticPr fontId="2" type="noConversion"/>
  </si>
  <si>
    <r>
      <t>1.地层类别:以地质勘察报告为准
2.空桩长度:按设计长度
3.桩径:</t>
    </r>
    <r>
      <rPr>
        <sz val="10"/>
        <rFont val="Calibri"/>
        <family val="2"/>
      </rPr>
      <t>Φ</t>
    </r>
    <r>
      <rPr>
        <sz val="10"/>
        <rFont val="宋体"/>
      </rPr>
      <t>1000mm</t>
    </r>
    <phoneticPr fontId="2" type="noConversion"/>
  </si>
  <si>
    <r>
      <rPr>
        <sz val="10"/>
        <rFont val="Calibri"/>
        <family val="2"/>
      </rPr>
      <t>φ1200</t>
    </r>
    <r>
      <rPr>
        <sz val="10"/>
        <rFont val="宋体"/>
      </rPr>
      <t>灌注桩（空桩）</t>
    </r>
    <phoneticPr fontId="2" type="noConversion"/>
  </si>
  <si>
    <r>
      <t>1.地层类别:以地质勘察报告为准
2.空桩长度:按设计长度
3.桩径:</t>
    </r>
    <r>
      <rPr>
        <sz val="10"/>
        <rFont val="Calibri"/>
        <family val="2"/>
      </rPr>
      <t>Φ</t>
    </r>
    <r>
      <rPr>
        <sz val="10"/>
        <rFont val="宋体"/>
      </rPr>
      <t>1200mm</t>
    </r>
    <phoneticPr fontId="2" type="noConversion"/>
  </si>
  <si>
    <t>钢筋笼</t>
    <phoneticPr fontId="2" type="noConversion"/>
  </si>
  <si>
    <r>
      <t>1.地层类别:以地质勘察报告为准
2.空桩长度、桩长:按设计长度
3.桩径:</t>
    </r>
    <r>
      <rPr>
        <sz val="10"/>
        <color theme="1"/>
        <rFont val="Calibri"/>
        <family val="2"/>
      </rPr>
      <t>Φ</t>
    </r>
    <r>
      <rPr>
        <sz val="10"/>
        <color theme="1"/>
        <rFont val="宋体"/>
      </rPr>
      <t>1200mm
4.混凝土种类、强度等级:水下商品混凝土 C25</t>
    </r>
    <phoneticPr fontId="2" type="noConversion"/>
  </si>
  <si>
    <r>
      <t>1.钢筋种类、规格:Ⅲ级钢</t>
    </r>
    <r>
      <rPr>
        <sz val="10"/>
        <rFont val="Calibri"/>
        <family val="2"/>
      </rPr>
      <t>Φ</t>
    </r>
    <r>
      <rPr>
        <sz val="10"/>
        <rFont val="宋体"/>
      </rPr>
      <t xml:space="preserve">25以内、圆钢 </t>
    </r>
    <r>
      <rPr>
        <sz val="10"/>
        <rFont val="Calibri"/>
        <family val="2"/>
      </rPr>
      <t>φ</t>
    </r>
    <r>
      <rPr>
        <sz val="10"/>
        <rFont val="宋体"/>
      </rPr>
      <t>10
2.使用部位:钢筋笼</t>
    </r>
    <phoneticPr fontId="2" type="noConversion"/>
  </si>
  <si>
    <t>1.钢护筒埋设、拆除</t>
  </si>
  <si>
    <r>
      <t>1.桩类型:砼灌注桩
2.桩头截面、高度:</t>
    </r>
    <r>
      <rPr>
        <sz val="10"/>
        <rFont val="Calibri"/>
        <family val="2"/>
      </rPr>
      <t>Φ</t>
    </r>
    <r>
      <rPr>
        <sz val="10"/>
        <rFont val="宋体"/>
      </rPr>
      <t>1000mm
3.桩头外运，运距综合考虑</t>
    </r>
    <phoneticPr fontId="2" type="noConversion"/>
  </si>
  <si>
    <r>
      <t>1.桩类型:砼灌注桩
2.桩头截面、高度:</t>
    </r>
    <r>
      <rPr>
        <sz val="10"/>
        <rFont val="Calibri"/>
        <family val="2"/>
      </rPr>
      <t>Φ</t>
    </r>
    <r>
      <rPr>
        <sz val="10"/>
        <rFont val="宋体"/>
      </rPr>
      <t>1200mm
3.桩头外运，运距综合考虑</t>
    </r>
    <phoneticPr fontId="2" type="noConversion"/>
  </si>
  <si>
    <t>混凝土及钢筋混凝土工程</t>
    <phoneticPr fontId="2" type="noConversion"/>
  </si>
  <si>
    <t>素砼硬化 C15</t>
  </si>
  <si>
    <t>喷射80厚C20混凝土</t>
  </si>
  <si>
    <t>冠梁、支撑梁、腰梁 C30(泵送)</t>
    <phoneticPr fontId="2" type="noConversion"/>
  </si>
  <si>
    <t>其他板</t>
  </si>
  <si>
    <t>1.板名称:角撑板
2.混凝土种类:预拌(商品)混凝土
3.混凝土强度等级:C30砼</t>
    <phoneticPr fontId="2" type="noConversion"/>
  </si>
  <si>
    <t>现浇混凝土基础及联系梁钢筋</t>
    <phoneticPr fontId="2" type="noConversion"/>
  </si>
  <si>
    <r>
      <t xml:space="preserve">1.钢筋种类、规格:Ⅲ级钢 </t>
    </r>
    <r>
      <rPr>
        <sz val="10"/>
        <rFont val="Calibri"/>
        <family val="2"/>
      </rPr>
      <t>Φ</t>
    </r>
    <r>
      <rPr>
        <sz val="10"/>
        <rFont val="宋体"/>
      </rPr>
      <t>16~25</t>
    </r>
    <phoneticPr fontId="2" type="noConversion"/>
  </si>
  <si>
    <r>
      <t xml:space="preserve">1.钢筋种类、规格:Ⅲ级钢 </t>
    </r>
    <r>
      <rPr>
        <sz val="10"/>
        <rFont val="Calibri"/>
        <family val="2"/>
      </rPr>
      <t>Φ</t>
    </r>
    <r>
      <rPr>
        <sz val="10"/>
        <rFont val="宋体"/>
      </rPr>
      <t>25外</t>
    </r>
    <phoneticPr fontId="2" type="noConversion"/>
  </si>
  <si>
    <r>
      <t xml:space="preserve">1.钢筋类型：箍筋
2.钢筋种类、规格:Ⅰ级钢 </t>
    </r>
    <r>
      <rPr>
        <sz val="10"/>
        <rFont val="Calibri"/>
        <family val="2"/>
      </rPr>
      <t>Φ</t>
    </r>
    <r>
      <rPr>
        <sz val="10"/>
        <rFont val="宋体"/>
      </rPr>
      <t>10内</t>
    </r>
    <phoneticPr fontId="2" type="noConversion"/>
  </si>
  <si>
    <r>
      <t xml:space="preserve">1.钢筋类型：箍筋
2.钢筋种类、规格:Ⅲ级钢 </t>
    </r>
    <r>
      <rPr>
        <sz val="10"/>
        <rFont val="Calibri"/>
        <family val="2"/>
      </rPr>
      <t>Φ</t>
    </r>
    <r>
      <rPr>
        <sz val="10"/>
        <rFont val="宋体"/>
      </rPr>
      <t>10内</t>
    </r>
    <phoneticPr fontId="2" type="noConversion"/>
  </si>
  <si>
    <r>
      <t xml:space="preserve">1.钢筋类型：箍筋
2.钢筋种类、规格:Ⅲ级钢 </t>
    </r>
    <r>
      <rPr>
        <sz val="10"/>
        <rFont val="Calibri"/>
        <family val="2"/>
      </rPr>
      <t>Φ</t>
    </r>
    <r>
      <rPr>
        <sz val="10"/>
        <rFont val="宋体"/>
      </rPr>
      <t>12~14</t>
    </r>
    <phoneticPr fontId="2" type="noConversion"/>
  </si>
  <si>
    <t>现浇混凝土其他板钢筋</t>
    <phoneticPr fontId="2" type="noConversion"/>
  </si>
  <si>
    <t>钢筋混凝土构件拆除</t>
    <phoneticPr fontId="2" type="noConversion"/>
  </si>
  <si>
    <t>1.构件名称:钢筋混凝土构件
2.拆除方式:机械拆除
3.拆除后钢筋由施工单位自行处置，需计取钢筋残值回收</t>
    <phoneticPr fontId="2" type="noConversion"/>
  </si>
  <si>
    <t>临时措施</t>
  </si>
  <si>
    <t>冠梁、支撑梁、腰梁模板</t>
    <phoneticPr fontId="2" type="noConversion"/>
  </si>
  <si>
    <t>素砼换撑板 C30 (泵送)</t>
    <phoneticPr fontId="2" type="noConversion"/>
  </si>
  <si>
    <t>格构柱</t>
    <phoneticPr fontId="2" type="noConversion"/>
  </si>
  <si>
    <t>坑中坑80厚C20喷射砼</t>
    <phoneticPr fontId="2" type="noConversion"/>
  </si>
  <si>
    <t>1.梁模板 基础梁模板</t>
  </si>
  <si>
    <t>1.混凝土种类:预拌(商品)混凝土
2.混凝土强度等级:C30砼</t>
    <phoneticPr fontId="2" type="noConversion"/>
  </si>
  <si>
    <t>1.格构柱安装及拆除
2.伸入灌注桩部分预埋
3.具体详见图纸设计</t>
    <phoneticPr fontId="2" type="noConversion"/>
  </si>
  <si>
    <t>1.部位:边坡
2.厚度:800mm
3.材料种类:钢筋网
4.混凝土(砂浆):C20</t>
    <phoneticPr fontId="2" type="noConversion"/>
  </si>
  <si>
    <r>
      <t xml:space="preserve">1.边坡插筋
2.钢筋种类、规格:Ⅲ级钢 </t>
    </r>
    <r>
      <rPr>
        <sz val="10"/>
        <rFont val="Calibri"/>
        <family val="2"/>
      </rPr>
      <t>Φ</t>
    </r>
    <r>
      <rPr>
        <sz val="10"/>
        <rFont val="宋体"/>
      </rPr>
      <t>10~25</t>
    </r>
    <phoneticPr fontId="2" type="noConversion"/>
  </si>
  <si>
    <t>1.砖砌明沟</t>
    <phoneticPr fontId="2" type="noConversion"/>
  </si>
  <si>
    <t>1.混凝土垫层
2.混水砖外墙 墙体厚度 1砖
3.底层抹灰20mm 各种墙面 内墙
4.楼地面水泥砂浆找平层 混凝土或硬基层上 20mm</t>
    <phoneticPr fontId="2" type="noConversion"/>
  </si>
  <si>
    <t>出土车道80厚C20喷射砼</t>
    <phoneticPr fontId="2" type="noConversion"/>
  </si>
  <si>
    <t>出土车道砖渣路面</t>
    <phoneticPr fontId="2" type="noConversion"/>
  </si>
  <si>
    <t>1.碎砖垫层 干铺</t>
    <phoneticPr fontId="2" type="noConversion"/>
  </si>
  <si>
    <t>出土车道泄水孔</t>
    <phoneticPr fontId="2" type="noConversion"/>
  </si>
  <si>
    <t>1.安装泄水孔 塑料管</t>
    <phoneticPr fontId="2" type="noConversion"/>
  </si>
  <si>
    <t>插筋</t>
    <phoneticPr fontId="2" type="noConversion"/>
  </si>
  <si>
    <r>
      <t xml:space="preserve">1.现浇构件带肋钢筋 </t>
    </r>
    <r>
      <rPr>
        <sz val="10"/>
        <rFont val="Calibri"/>
        <family val="2"/>
      </rPr>
      <t>Ф</t>
    </r>
    <r>
      <rPr>
        <sz val="10"/>
        <rFont val="宋体"/>
      </rPr>
      <t>25以内</t>
    </r>
    <phoneticPr fontId="2" type="noConversion"/>
  </si>
  <si>
    <t>工程量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</si>
</sst>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 "/>
    <numFmt numFmtId="177" formatCode="0.000"/>
    <numFmt numFmtId="178" formatCode="0.000_ "/>
    <numFmt numFmtId="179" formatCode="0.0_ "/>
  </numFmts>
  <fonts count="16">
    <font>
      <sz val="11"/>
      <color theme="1"/>
      <name val="等线"/>
      <family val="2"/>
      <scheme val="minor"/>
    </font>
    <font>
      <sz val="10"/>
      <name val="仿宋"/>
      <family val="3"/>
      <charset val="134"/>
    </font>
    <font>
      <sz val="9"/>
      <name val="等线"/>
      <family val="3"/>
      <charset val="134"/>
      <scheme val="minor"/>
    </font>
    <font>
      <b/>
      <sz val="14"/>
      <name val="仿宋"/>
      <family val="3"/>
      <charset val="134"/>
    </font>
    <font>
      <sz val="14"/>
      <name val="仿宋"/>
      <family val="3"/>
      <charset val="134"/>
    </font>
    <font>
      <b/>
      <sz val="11"/>
      <name val="仿宋"/>
      <family val="3"/>
      <charset val="134"/>
    </font>
    <font>
      <b/>
      <sz val="10"/>
      <name val="仿宋"/>
      <family val="3"/>
      <charset val="134"/>
    </font>
    <font>
      <sz val="10"/>
      <name val="宋体"/>
    </font>
    <font>
      <b/>
      <sz val="10"/>
      <color rgb="FFFF0000"/>
      <name val="仿宋"/>
      <family val="3"/>
      <charset val="134"/>
    </font>
    <font>
      <b/>
      <sz val="9"/>
      <name val="宋体"/>
    </font>
    <font>
      <sz val="9"/>
      <name val="宋体"/>
    </font>
    <font>
      <sz val="10"/>
      <name val="Calibri"/>
      <family val="2"/>
    </font>
    <font>
      <sz val="10"/>
      <name val="宋体"/>
      <family val="2"/>
    </font>
    <font>
      <sz val="10"/>
      <color theme="1"/>
      <name val="宋体"/>
    </font>
    <font>
      <sz val="10"/>
      <color theme="1"/>
      <name val="Calibri"/>
      <family val="2"/>
    </font>
    <font>
      <sz val="10"/>
      <color theme="1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176" fontId="5" fillId="2" borderId="3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43" fontId="1" fillId="3" borderId="3" xfId="0" applyNumberFormat="1" applyFont="1" applyFill="1" applyBorder="1" applyAlignment="1">
      <alignment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/>
    </xf>
    <xf numFmtId="178" fontId="1" fillId="0" borderId="5" xfId="0" applyNumberFormat="1" applyFont="1" applyBorder="1" applyAlignment="1">
      <alignment horizontal="left" vertical="center"/>
    </xf>
    <xf numFmtId="179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79" fontId="1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2" fontId="7" fillId="0" borderId="7" xfId="0" applyNumberFormat="1" applyFont="1" applyBorder="1" applyAlignment="1">
      <alignment horizontal="right" vertical="center" wrapText="1"/>
    </xf>
    <xf numFmtId="177" fontId="7" fillId="0" borderId="7" xfId="0" applyNumberFormat="1" applyFont="1" applyBorder="1" applyAlignment="1">
      <alignment horizontal="right" vertical="center" wrapText="1"/>
    </xf>
    <xf numFmtId="1" fontId="7" fillId="0" borderId="7" xfId="0" applyNumberFormat="1" applyFont="1" applyBorder="1" applyAlignment="1">
      <alignment horizontal="righ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5" fillId="4" borderId="9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178" fontId="6" fillId="4" borderId="3" xfId="0" applyNumberFormat="1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2" fontId="7" fillId="5" borderId="10" xfId="0" applyNumberFormat="1" applyFont="1" applyFill="1" applyBorder="1" applyAlignment="1">
      <alignment horizontal="right" vertical="center" wrapText="1"/>
    </xf>
    <xf numFmtId="177" fontId="7" fillId="5" borderId="10" xfId="0" applyNumberFormat="1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43" fontId="5" fillId="2" borderId="1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3" fontId="3" fillId="0" borderId="0" xfId="0" applyNumberFormat="1" applyFont="1" applyAlignment="1">
      <alignment vertical="center" wrapText="1"/>
    </xf>
    <xf numFmtId="176" fontId="4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I6" sqref="I6"/>
    </sheetView>
  </sheetViews>
  <sheetFormatPr defaultRowHeight="14"/>
  <cols>
    <col min="1" max="1" width="5" bestFit="1" customWidth="1"/>
    <col min="2" max="2" width="26.83203125" bestFit="1" customWidth="1"/>
    <col min="3" max="3" width="12.1640625" bestFit="1" customWidth="1"/>
    <col min="4" max="4" width="26.5" bestFit="1" customWidth="1"/>
    <col min="5" max="5" width="8.83203125" bestFit="1" customWidth="1"/>
    <col min="6" max="6" width="13.9140625" bestFit="1" customWidth="1"/>
    <col min="7" max="7" width="8.1640625" bestFit="1" customWidth="1"/>
    <col min="8" max="10" width="9.5" bestFit="1" customWidth="1"/>
    <col min="11" max="11" width="8.1640625" bestFit="1" customWidth="1"/>
    <col min="12" max="12" width="9.5" bestFit="1" customWidth="1"/>
    <col min="13" max="13" width="7.83203125" bestFit="1" customWidth="1"/>
    <col min="14" max="14" width="8.1640625" bestFit="1" customWidth="1"/>
    <col min="15" max="16" width="8.5" bestFit="1" customWidth="1"/>
    <col min="17" max="17" width="7.58203125" bestFit="1" customWidth="1"/>
    <col min="18" max="18" width="8.5" bestFit="1" customWidth="1"/>
    <col min="19" max="22" width="11.33203125" bestFit="1" customWidth="1"/>
    <col min="23" max="23" width="5" bestFit="1" customWidth="1"/>
  </cols>
  <sheetData>
    <row r="1" spans="1:23" ht="46.5" customHeight="1">
      <c r="A1" s="1"/>
      <c r="B1" s="43" t="s">
        <v>34</v>
      </c>
      <c r="C1" s="44"/>
      <c r="D1" s="44"/>
      <c r="E1" s="45"/>
      <c r="F1" s="46"/>
      <c r="G1" s="43"/>
      <c r="H1" s="43"/>
      <c r="I1" s="43"/>
      <c r="J1" s="43"/>
      <c r="K1" s="43"/>
      <c r="L1" s="43"/>
      <c r="M1" s="43"/>
      <c r="N1" s="43"/>
      <c r="O1" s="47"/>
      <c r="P1" s="47"/>
      <c r="Q1" s="47"/>
      <c r="R1" s="47"/>
      <c r="S1" s="45"/>
      <c r="T1" s="45"/>
      <c r="U1" s="45"/>
      <c r="V1" s="45"/>
      <c r="W1" s="1"/>
    </row>
    <row r="2" spans="1:23" ht="28">
      <c r="A2" s="38" t="s">
        <v>0</v>
      </c>
      <c r="B2" s="42" t="s">
        <v>1</v>
      </c>
      <c r="C2" s="41" t="s">
        <v>2</v>
      </c>
      <c r="D2" s="40" t="s">
        <v>3</v>
      </c>
      <c r="E2" s="38" t="s">
        <v>4</v>
      </c>
      <c r="F2" s="39" t="s">
        <v>91</v>
      </c>
      <c r="G2" s="21" t="s">
        <v>5</v>
      </c>
      <c r="H2" s="2"/>
      <c r="I2" s="2"/>
      <c r="J2" s="2"/>
      <c r="K2" s="2"/>
      <c r="L2" s="2"/>
      <c r="M2" s="2"/>
      <c r="N2" s="2"/>
      <c r="O2" s="3" t="s">
        <v>6</v>
      </c>
      <c r="P2" s="3" t="s">
        <v>7</v>
      </c>
      <c r="Q2" s="3" t="s">
        <v>8</v>
      </c>
      <c r="R2" s="3" t="s">
        <v>9</v>
      </c>
      <c r="S2" s="4" t="s">
        <v>10</v>
      </c>
      <c r="T2" s="4" t="s">
        <v>11</v>
      </c>
      <c r="U2" s="4" t="s">
        <v>12</v>
      </c>
      <c r="V2" s="4" t="s">
        <v>13</v>
      </c>
      <c r="W2" s="37"/>
    </row>
    <row r="3" spans="1:23" ht="26">
      <c r="A3" s="7">
        <v>1</v>
      </c>
      <c r="B3" s="31" t="s">
        <v>14</v>
      </c>
      <c r="C3" s="27" t="s">
        <v>15</v>
      </c>
      <c r="D3" s="8" t="s">
        <v>35</v>
      </c>
      <c r="E3" s="9" t="s">
        <v>16</v>
      </c>
      <c r="F3" s="10">
        <f>SUM(G3:N3)</f>
        <v>69499.34</v>
      </c>
      <c r="G3" s="22">
        <v>69499.34</v>
      </c>
      <c r="H3" s="5"/>
      <c r="I3" s="5"/>
      <c r="J3" s="5"/>
      <c r="K3" s="5"/>
      <c r="L3" s="5"/>
      <c r="M3" s="5"/>
      <c r="N3" s="5"/>
      <c r="O3" s="11"/>
      <c r="P3" s="11"/>
      <c r="Q3" s="11"/>
      <c r="R3" s="12"/>
      <c r="S3" s="13"/>
      <c r="T3" s="13"/>
      <c r="U3" s="13"/>
      <c r="V3" s="13"/>
      <c r="W3" s="6"/>
    </row>
    <row r="4" spans="1:23" ht="39">
      <c r="A4" s="7">
        <v>2</v>
      </c>
      <c r="B4" s="31" t="s">
        <v>14</v>
      </c>
      <c r="C4" s="27" t="s">
        <v>17</v>
      </c>
      <c r="D4" s="8" t="s">
        <v>36</v>
      </c>
      <c r="E4" s="9" t="s">
        <v>16</v>
      </c>
      <c r="F4" s="10">
        <f t="shared" ref="F4:F20" si="0">SUM(G4:N4)</f>
        <v>5349.23</v>
      </c>
      <c r="G4" s="22">
        <v>5349.23</v>
      </c>
      <c r="H4" s="5"/>
      <c r="I4" s="5"/>
      <c r="J4" s="5"/>
      <c r="K4" s="5"/>
      <c r="L4" s="5"/>
      <c r="M4" s="5"/>
      <c r="N4" s="5"/>
      <c r="O4" s="11"/>
      <c r="P4" s="11"/>
      <c r="Q4" s="11"/>
      <c r="R4" s="12"/>
      <c r="S4" s="13"/>
      <c r="T4" s="13"/>
      <c r="U4" s="13"/>
      <c r="V4" s="13"/>
      <c r="W4" s="6"/>
    </row>
    <row r="5" spans="1:23" ht="26">
      <c r="A5" s="7">
        <v>3</v>
      </c>
      <c r="B5" s="31" t="s">
        <v>14</v>
      </c>
      <c r="C5" s="27" t="s">
        <v>18</v>
      </c>
      <c r="D5" s="8" t="s">
        <v>37</v>
      </c>
      <c r="E5" s="9" t="s">
        <v>16</v>
      </c>
      <c r="F5" s="10">
        <f t="shared" si="0"/>
        <v>29324.61</v>
      </c>
      <c r="G5" s="22">
        <v>29324.61</v>
      </c>
      <c r="H5" s="5"/>
      <c r="I5" s="5"/>
      <c r="J5" s="5"/>
      <c r="K5" s="5"/>
      <c r="L5" s="5"/>
      <c r="M5" s="5"/>
      <c r="N5" s="5"/>
      <c r="O5" s="11"/>
      <c r="P5" s="11"/>
      <c r="Q5" s="11"/>
      <c r="R5" s="12"/>
      <c r="S5" s="13"/>
      <c r="T5" s="13"/>
      <c r="U5" s="13"/>
      <c r="V5" s="13"/>
      <c r="W5" s="6"/>
    </row>
    <row r="6" spans="1:23" ht="39">
      <c r="A6" s="7">
        <v>4</v>
      </c>
      <c r="B6" s="31" t="s">
        <v>14</v>
      </c>
      <c r="C6" s="27" t="s">
        <v>19</v>
      </c>
      <c r="D6" s="8" t="s">
        <v>38</v>
      </c>
      <c r="E6" s="9" t="s">
        <v>16</v>
      </c>
      <c r="F6" s="10">
        <f t="shared" si="0"/>
        <v>8245.4</v>
      </c>
      <c r="G6" s="22">
        <v>8245.4</v>
      </c>
      <c r="H6" s="5"/>
      <c r="I6" s="5"/>
      <c r="J6" s="5"/>
      <c r="K6" s="5"/>
      <c r="L6" s="5"/>
      <c r="M6" s="5"/>
      <c r="N6" s="5"/>
      <c r="O6" s="11"/>
      <c r="P6" s="11"/>
      <c r="Q6" s="11"/>
      <c r="R6" s="12"/>
      <c r="S6" s="13"/>
      <c r="T6" s="13"/>
      <c r="U6" s="13"/>
      <c r="V6" s="13"/>
      <c r="W6" s="6"/>
    </row>
    <row r="7" spans="1:23" ht="26">
      <c r="A7" s="7">
        <v>5</v>
      </c>
      <c r="B7" s="31" t="s">
        <v>14</v>
      </c>
      <c r="C7" s="27" t="s">
        <v>20</v>
      </c>
      <c r="D7" s="8" t="s">
        <v>39</v>
      </c>
      <c r="E7" s="9" t="s">
        <v>16</v>
      </c>
      <c r="F7" s="10">
        <f t="shared" si="0"/>
        <v>69499.34</v>
      </c>
      <c r="G7" s="22">
        <v>69499.34</v>
      </c>
      <c r="H7" s="5"/>
      <c r="I7" s="5"/>
      <c r="J7" s="5"/>
      <c r="K7" s="5"/>
      <c r="L7" s="5"/>
      <c r="M7" s="5"/>
      <c r="N7" s="5"/>
      <c r="O7" s="11"/>
      <c r="P7" s="11"/>
      <c r="Q7" s="11"/>
      <c r="R7" s="12"/>
      <c r="S7" s="13"/>
      <c r="T7" s="13"/>
      <c r="U7" s="13"/>
      <c r="V7" s="13"/>
      <c r="W7" s="6"/>
    </row>
    <row r="8" spans="1:23" ht="65.5">
      <c r="A8" s="7">
        <v>6</v>
      </c>
      <c r="B8" s="31" t="s">
        <v>21</v>
      </c>
      <c r="C8" s="27" t="s">
        <v>40</v>
      </c>
      <c r="D8" s="8" t="s">
        <v>42</v>
      </c>
      <c r="E8" s="9" t="s">
        <v>16</v>
      </c>
      <c r="F8" s="10">
        <f t="shared" si="0"/>
        <v>4406.57</v>
      </c>
      <c r="G8" s="22">
        <v>4406.57</v>
      </c>
      <c r="H8" s="5"/>
      <c r="I8" s="5"/>
      <c r="J8" s="5"/>
      <c r="K8" s="5"/>
      <c r="L8" s="5"/>
      <c r="M8" s="5"/>
      <c r="N8" s="5"/>
      <c r="O8" s="11"/>
      <c r="P8" s="11"/>
      <c r="Q8" s="11"/>
      <c r="R8" s="12"/>
      <c r="S8" s="13"/>
      <c r="T8" s="13"/>
      <c r="U8" s="13"/>
      <c r="V8" s="13"/>
      <c r="W8" s="14"/>
    </row>
    <row r="9" spans="1:23" ht="143">
      <c r="A9" s="7">
        <v>7</v>
      </c>
      <c r="B9" s="31" t="s">
        <v>21</v>
      </c>
      <c r="C9" s="27" t="s">
        <v>41</v>
      </c>
      <c r="D9" s="8" t="s">
        <v>43</v>
      </c>
      <c r="E9" s="9" t="s">
        <v>22</v>
      </c>
      <c r="F9" s="10">
        <f t="shared" si="0"/>
        <v>792</v>
      </c>
      <c r="G9" s="22">
        <v>792</v>
      </c>
      <c r="H9" s="15"/>
      <c r="I9" s="15"/>
      <c r="J9" s="15"/>
      <c r="K9" s="15"/>
      <c r="L9" s="15"/>
      <c r="M9" s="15"/>
      <c r="N9" s="15"/>
      <c r="O9" s="11"/>
      <c r="P9" s="11"/>
      <c r="Q9" s="11"/>
      <c r="R9" s="12"/>
      <c r="S9" s="13"/>
      <c r="T9" s="13"/>
      <c r="U9" s="13"/>
      <c r="V9" s="13"/>
      <c r="W9" s="6"/>
    </row>
    <row r="10" spans="1:23" ht="65.5">
      <c r="A10" s="7">
        <v>8</v>
      </c>
      <c r="B10" s="31" t="s">
        <v>23</v>
      </c>
      <c r="C10" s="27" t="s">
        <v>44</v>
      </c>
      <c r="D10" s="8" t="s">
        <v>45</v>
      </c>
      <c r="E10" s="9" t="s">
        <v>16</v>
      </c>
      <c r="F10" s="10">
        <f t="shared" si="0"/>
        <v>525.95000000000005</v>
      </c>
      <c r="G10" s="22">
        <v>525.95000000000005</v>
      </c>
      <c r="H10" s="15"/>
      <c r="I10" s="15"/>
      <c r="J10" s="15"/>
      <c r="K10" s="15"/>
      <c r="L10" s="15"/>
      <c r="M10" s="15"/>
      <c r="N10" s="15"/>
      <c r="O10" s="11"/>
      <c r="P10" s="11"/>
      <c r="Q10" s="11"/>
      <c r="R10" s="12"/>
      <c r="S10" s="13"/>
      <c r="T10" s="13"/>
      <c r="U10" s="13"/>
      <c r="V10" s="13"/>
      <c r="W10" s="6"/>
    </row>
    <row r="11" spans="1:23" ht="65.5">
      <c r="A11" s="7">
        <v>9</v>
      </c>
      <c r="B11" s="31" t="s">
        <v>23</v>
      </c>
      <c r="C11" s="28" t="s">
        <v>46</v>
      </c>
      <c r="D11" s="25" t="s">
        <v>52</v>
      </c>
      <c r="E11" s="9" t="s">
        <v>16</v>
      </c>
      <c r="F11" s="10">
        <f t="shared" si="0"/>
        <v>5835.12</v>
      </c>
      <c r="G11" s="22">
        <v>5835.12</v>
      </c>
      <c r="H11" s="15"/>
      <c r="I11" s="15"/>
      <c r="J11" s="15"/>
      <c r="K11" s="15"/>
      <c r="L11" s="15"/>
      <c r="M11" s="15"/>
      <c r="N11" s="15"/>
      <c r="O11" s="11"/>
      <c r="P11" s="11"/>
      <c r="Q11" s="11"/>
      <c r="R11" s="12"/>
      <c r="S11" s="13"/>
      <c r="T11" s="13"/>
      <c r="U11" s="13"/>
      <c r="V11" s="13"/>
      <c r="W11" s="6"/>
    </row>
    <row r="12" spans="1:23" ht="39.5">
      <c r="A12" s="7">
        <v>10</v>
      </c>
      <c r="B12" s="31" t="s">
        <v>23</v>
      </c>
      <c r="C12" s="27" t="s">
        <v>47</v>
      </c>
      <c r="D12" s="8" t="s">
        <v>48</v>
      </c>
      <c r="E12" s="9" t="s">
        <v>16</v>
      </c>
      <c r="F12" s="10">
        <f t="shared" si="0"/>
        <v>565.71</v>
      </c>
      <c r="G12" s="22">
        <v>565.71</v>
      </c>
      <c r="H12" s="15"/>
      <c r="I12" s="15"/>
      <c r="J12" s="15"/>
      <c r="K12" s="15"/>
      <c r="L12" s="15"/>
      <c r="M12" s="15"/>
      <c r="N12" s="15"/>
      <c r="O12" s="11"/>
      <c r="P12" s="11"/>
      <c r="Q12" s="11"/>
      <c r="R12" s="12"/>
      <c r="S12" s="13"/>
      <c r="T12" s="13"/>
      <c r="U12" s="13"/>
      <c r="V12" s="13"/>
      <c r="W12" s="6"/>
    </row>
    <row r="13" spans="1:23" ht="39.5">
      <c r="A13" s="7">
        <v>11</v>
      </c>
      <c r="B13" s="31" t="s">
        <v>23</v>
      </c>
      <c r="C13" s="28" t="s">
        <v>49</v>
      </c>
      <c r="D13" s="8" t="s">
        <v>50</v>
      </c>
      <c r="E13" s="9" t="s">
        <v>16</v>
      </c>
      <c r="F13" s="10">
        <f t="shared" si="0"/>
        <v>146.94999999999999</v>
      </c>
      <c r="G13" s="22">
        <v>146.94999999999999</v>
      </c>
      <c r="H13" s="15"/>
      <c r="I13" s="15"/>
      <c r="J13" s="15"/>
      <c r="K13" s="15"/>
      <c r="L13" s="15"/>
      <c r="M13" s="15"/>
      <c r="N13" s="15"/>
      <c r="O13" s="11"/>
      <c r="P13" s="11"/>
      <c r="Q13" s="11"/>
      <c r="R13" s="12"/>
      <c r="S13" s="13"/>
      <c r="T13" s="13"/>
      <c r="U13" s="13"/>
      <c r="V13" s="13"/>
      <c r="W13" s="6"/>
    </row>
    <row r="14" spans="1:23" ht="40">
      <c r="A14" s="7">
        <v>12</v>
      </c>
      <c r="B14" s="31" t="s">
        <v>23</v>
      </c>
      <c r="C14" s="29" t="s">
        <v>51</v>
      </c>
      <c r="D14" s="8" t="s">
        <v>53</v>
      </c>
      <c r="E14" s="9" t="s">
        <v>25</v>
      </c>
      <c r="F14" s="10">
        <f t="shared" si="0"/>
        <v>727.38499999999999</v>
      </c>
      <c r="G14" s="36">
        <v>727.38499999999999</v>
      </c>
      <c r="H14" s="15"/>
      <c r="I14" s="15"/>
      <c r="J14" s="15"/>
      <c r="K14" s="15"/>
      <c r="L14" s="15"/>
      <c r="M14" s="15"/>
      <c r="N14" s="15"/>
      <c r="O14" s="11"/>
      <c r="P14" s="11"/>
      <c r="Q14" s="11"/>
      <c r="R14" s="12"/>
      <c r="S14" s="13"/>
      <c r="T14" s="13"/>
      <c r="U14" s="13"/>
      <c r="V14" s="13"/>
      <c r="W14" s="6"/>
    </row>
    <row r="15" spans="1:23">
      <c r="A15" s="7">
        <v>13</v>
      </c>
      <c r="B15" s="31" t="s">
        <v>23</v>
      </c>
      <c r="C15" s="27" t="s">
        <v>26</v>
      </c>
      <c r="D15" s="8" t="s">
        <v>54</v>
      </c>
      <c r="E15" s="9" t="s">
        <v>25</v>
      </c>
      <c r="F15" s="10">
        <f t="shared" si="0"/>
        <v>146.67099999999999</v>
      </c>
      <c r="G15" s="23">
        <v>146.67099999999999</v>
      </c>
      <c r="H15" s="15"/>
      <c r="I15" s="15"/>
      <c r="J15" s="15"/>
      <c r="K15" s="15"/>
      <c r="L15" s="15"/>
      <c r="M15" s="15"/>
      <c r="N15" s="15"/>
      <c r="O15" s="11"/>
      <c r="P15" s="11"/>
      <c r="Q15" s="11"/>
      <c r="R15" s="12"/>
      <c r="S15" s="13"/>
      <c r="T15" s="13"/>
      <c r="U15" s="13"/>
      <c r="V15" s="13"/>
      <c r="W15" s="6"/>
    </row>
    <row r="16" spans="1:23" ht="39.5">
      <c r="A16" s="7">
        <v>14</v>
      </c>
      <c r="B16" s="31" t="s">
        <v>23</v>
      </c>
      <c r="C16" s="27" t="s">
        <v>27</v>
      </c>
      <c r="D16" s="8" t="s">
        <v>55</v>
      </c>
      <c r="E16" s="9" t="s">
        <v>24</v>
      </c>
      <c r="F16" s="10">
        <f t="shared" si="0"/>
        <v>67</v>
      </c>
      <c r="G16" s="24">
        <v>67</v>
      </c>
      <c r="H16" s="15"/>
      <c r="I16" s="15"/>
      <c r="J16" s="15"/>
      <c r="K16" s="15"/>
      <c r="L16" s="15"/>
      <c r="M16" s="15"/>
      <c r="N16" s="15"/>
      <c r="O16" s="11"/>
      <c r="P16" s="11"/>
      <c r="Q16" s="11"/>
      <c r="R16" s="12"/>
      <c r="S16" s="13"/>
      <c r="T16" s="13"/>
      <c r="U16" s="13"/>
      <c r="V16" s="13"/>
      <c r="W16" s="6"/>
    </row>
    <row r="17" spans="1:23" ht="39.5">
      <c r="A17" s="7">
        <v>15</v>
      </c>
      <c r="B17" s="31" t="s">
        <v>23</v>
      </c>
      <c r="C17" s="27" t="s">
        <v>28</v>
      </c>
      <c r="D17" s="8" t="s">
        <v>56</v>
      </c>
      <c r="E17" s="9" t="s">
        <v>24</v>
      </c>
      <c r="F17" s="10">
        <f t="shared" si="0"/>
        <v>260</v>
      </c>
      <c r="G17" s="24">
        <v>260</v>
      </c>
      <c r="H17" s="15"/>
      <c r="I17" s="15"/>
      <c r="J17" s="15"/>
      <c r="K17" s="15"/>
      <c r="L17" s="15"/>
      <c r="M17" s="15"/>
      <c r="N17" s="15"/>
      <c r="O17" s="11"/>
      <c r="P17" s="11"/>
      <c r="Q17" s="11"/>
      <c r="R17" s="12"/>
      <c r="S17" s="13"/>
      <c r="T17" s="13"/>
      <c r="U17" s="13"/>
      <c r="V17" s="13"/>
      <c r="W17" s="6"/>
    </row>
    <row r="18" spans="1:23">
      <c r="A18" s="7">
        <v>16</v>
      </c>
      <c r="B18" s="32" t="s">
        <v>57</v>
      </c>
      <c r="C18" s="30" t="s">
        <v>58</v>
      </c>
      <c r="D18" s="8"/>
      <c r="E18" s="9" t="s">
        <v>16</v>
      </c>
      <c r="F18" s="10">
        <f t="shared" si="0"/>
        <v>64.39</v>
      </c>
      <c r="G18" s="22">
        <v>64.39</v>
      </c>
      <c r="H18" s="16"/>
      <c r="I18" s="16"/>
      <c r="J18" s="16"/>
      <c r="K18" s="16"/>
      <c r="L18" s="16"/>
      <c r="M18" s="16"/>
      <c r="N18" s="16"/>
      <c r="O18" s="11"/>
      <c r="P18" s="11"/>
      <c r="Q18" s="11"/>
      <c r="R18" s="12"/>
      <c r="S18" s="13"/>
      <c r="T18" s="13"/>
      <c r="U18" s="13"/>
      <c r="V18" s="13"/>
      <c r="W18" s="17"/>
    </row>
    <row r="19" spans="1:23" ht="26">
      <c r="A19" s="7">
        <v>17</v>
      </c>
      <c r="B19" s="32" t="s">
        <v>57</v>
      </c>
      <c r="C19" s="30" t="s">
        <v>59</v>
      </c>
      <c r="D19" s="8" t="s">
        <v>30</v>
      </c>
      <c r="E19" s="9" t="s">
        <v>29</v>
      </c>
      <c r="F19" s="10">
        <f t="shared" si="0"/>
        <v>4110.16</v>
      </c>
      <c r="G19" s="22">
        <f>2594.07+1155.54+360.55</f>
        <v>4110.16</v>
      </c>
      <c r="H19" s="16"/>
      <c r="I19" s="16"/>
      <c r="J19" s="16"/>
      <c r="K19" s="16"/>
      <c r="L19" s="16"/>
      <c r="M19" s="16"/>
      <c r="N19" s="16"/>
      <c r="O19" s="11"/>
      <c r="P19" s="11"/>
      <c r="Q19" s="11"/>
      <c r="R19" s="12"/>
      <c r="S19" s="13"/>
      <c r="T19" s="13"/>
      <c r="U19" s="13"/>
      <c r="V19" s="13"/>
      <c r="W19" s="17"/>
    </row>
    <row r="20" spans="1:23" ht="39">
      <c r="A20" s="7">
        <v>18</v>
      </c>
      <c r="B20" s="32" t="s">
        <v>57</v>
      </c>
      <c r="C20" s="27" t="s">
        <v>60</v>
      </c>
      <c r="D20" s="8"/>
      <c r="E20" s="9" t="s">
        <v>16</v>
      </c>
      <c r="F20" s="10">
        <f t="shared" si="0"/>
        <v>2048.94</v>
      </c>
      <c r="G20" s="22">
        <f>1568.13+9.94+470.87</f>
        <v>2048.94</v>
      </c>
      <c r="H20" s="18"/>
      <c r="I20" s="18"/>
      <c r="J20" s="18"/>
      <c r="K20" s="18"/>
      <c r="L20" s="18"/>
      <c r="M20" s="18"/>
      <c r="N20" s="18"/>
      <c r="O20" s="11"/>
      <c r="P20" s="11"/>
      <c r="Q20" s="11"/>
      <c r="R20" s="12"/>
      <c r="S20" s="13"/>
      <c r="T20" s="13"/>
      <c r="U20" s="13"/>
      <c r="V20" s="13"/>
      <c r="W20" s="19"/>
    </row>
    <row r="21" spans="1:23" ht="39">
      <c r="A21" s="7">
        <v>19</v>
      </c>
      <c r="B21" s="32" t="s">
        <v>57</v>
      </c>
      <c r="C21" s="30" t="s">
        <v>61</v>
      </c>
      <c r="D21" s="8" t="s">
        <v>62</v>
      </c>
      <c r="E21" s="9" t="s">
        <v>16</v>
      </c>
      <c r="F21" s="10"/>
      <c r="G21" s="22"/>
      <c r="H21" s="18"/>
      <c r="I21" s="18"/>
      <c r="J21" s="18"/>
      <c r="K21" s="18"/>
      <c r="L21" s="18"/>
      <c r="M21" s="18"/>
      <c r="N21" s="18"/>
      <c r="O21" s="11"/>
      <c r="P21" s="11"/>
      <c r="Q21" s="11"/>
      <c r="R21" s="12"/>
      <c r="S21" s="13"/>
      <c r="T21" s="13"/>
      <c r="U21" s="13"/>
      <c r="V21" s="13"/>
      <c r="W21" s="19"/>
    </row>
    <row r="22" spans="1:23" ht="39">
      <c r="A22" s="7">
        <v>20</v>
      </c>
      <c r="B22" s="32" t="s">
        <v>57</v>
      </c>
      <c r="C22" s="30" t="s">
        <v>63</v>
      </c>
      <c r="D22" s="26" t="s">
        <v>64</v>
      </c>
      <c r="E22" s="9" t="s">
        <v>25</v>
      </c>
      <c r="F22" s="10">
        <f t="shared" ref="F22:F27" si="1">SUM(G22:N22)</f>
        <v>727.745</v>
      </c>
      <c r="G22" s="23">
        <f>0.36+727.385</f>
        <v>727.745</v>
      </c>
      <c r="H22" s="20"/>
      <c r="I22" s="20"/>
      <c r="J22" s="18"/>
      <c r="K22" s="18"/>
      <c r="L22" s="18"/>
      <c r="M22" s="18"/>
      <c r="N22" s="18"/>
      <c r="O22" s="11"/>
      <c r="P22" s="11"/>
      <c r="Q22" s="11"/>
      <c r="R22" s="12"/>
      <c r="S22" s="13"/>
      <c r="T22" s="13"/>
      <c r="U22" s="13"/>
      <c r="V22" s="13"/>
      <c r="W22" s="19"/>
    </row>
    <row r="23" spans="1:23" ht="39">
      <c r="A23" s="7">
        <v>21</v>
      </c>
      <c r="B23" s="32" t="s">
        <v>57</v>
      </c>
      <c r="C23" s="30" t="s">
        <v>63</v>
      </c>
      <c r="D23" s="26" t="s">
        <v>65</v>
      </c>
      <c r="E23" s="9" t="s">
        <v>25</v>
      </c>
      <c r="F23" s="10">
        <f t="shared" si="1"/>
        <v>26.914000000000001</v>
      </c>
      <c r="G23" s="23">
        <v>26.914000000000001</v>
      </c>
      <c r="H23" s="20"/>
      <c r="I23" s="18"/>
      <c r="J23" s="18"/>
      <c r="K23" s="18"/>
      <c r="L23" s="18"/>
      <c r="M23" s="18"/>
      <c r="N23" s="18"/>
      <c r="O23" s="11"/>
      <c r="P23" s="11"/>
      <c r="Q23" s="11"/>
      <c r="R23" s="12"/>
      <c r="S23" s="13"/>
      <c r="T23" s="13"/>
      <c r="U23" s="13"/>
      <c r="V23" s="13"/>
      <c r="W23" s="19"/>
    </row>
    <row r="24" spans="1:23" ht="39">
      <c r="A24" s="7">
        <v>22</v>
      </c>
      <c r="B24" s="32" t="s">
        <v>57</v>
      </c>
      <c r="C24" s="30" t="s">
        <v>63</v>
      </c>
      <c r="D24" s="26" t="s">
        <v>66</v>
      </c>
      <c r="E24" s="9" t="s">
        <v>25</v>
      </c>
      <c r="F24" s="10">
        <f t="shared" si="1"/>
        <v>61.001999999999995</v>
      </c>
      <c r="G24" s="23">
        <f>60.72+0.282</f>
        <v>61.001999999999995</v>
      </c>
      <c r="H24" s="20"/>
      <c r="I24" s="20"/>
      <c r="J24" s="18"/>
      <c r="K24" s="18"/>
      <c r="L24" s="18"/>
      <c r="M24" s="18"/>
      <c r="N24" s="18"/>
      <c r="O24" s="11"/>
      <c r="P24" s="11"/>
      <c r="Q24" s="11"/>
      <c r="R24" s="12"/>
      <c r="S24" s="13"/>
      <c r="T24" s="13"/>
      <c r="U24" s="13"/>
      <c r="V24" s="13"/>
      <c r="W24" s="19"/>
    </row>
    <row r="25" spans="1:23" ht="39">
      <c r="A25" s="7">
        <v>23</v>
      </c>
      <c r="B25" s="32" t="s">
        <v>57</v>
      </c>
      <c r="C25" s="30" t="s">
        <v>63</v>
      </c>
      <c r="D25" s="26" t="s">
        <v>67</v>
      </c>
      <c r="E25" s="9" t="s">
        <v>25</v>
      </c>
      <c r="F25" s="10">
        <f t="shared" si="1"/>
        <v>231.01000000000002</v>
      </c>
      <c r="G25" s="23">
        <f>228.675+2.335</f>
        <v>231.01000000000002</v>
      </c>
      <c r="H25" s="20"/>
      <c r="I25" s="20"/>
      <c r="J25" s="18"/>
      <c r="K25" s="18"/>
      <c r="L25" s="18"/>
      <c r="M25" s="18"/>
      <c r="N25" s="18"/>
      <c r="O25" s="11"/>
      <c r="P25" s="11"/>
      <c r="Q25" s="11"/>
      <c r="R25" s="12"/>
      <c r="S25" s="13"/>
      <c r="T25" s="13"/>
      <c r="U25" s="13"/>
      <c r="V25" s="13"/>
      <c r="W25" s="19"/>
    </row>
    <row r="26" spans="1:23" ht="39">
      <c r="A26" s="7">
        <v>24</v>
      </c>
      <c r="B26" s="32" t="s">
        <v>57</v>
      </c>
      <c r="C26" s="30" t="s">
        <v>63</v>
      </c>
      <c r="D26" s="26" t="s">
        <v>68</v>
      </c>
      <c r="E26" s="9" t="s">
        <v>25</v>
      </c>
      <c r="F26" s="10">
        <f t="shared" si="1"/>
        <v>81.39</v>
      </c>
      <c r="G26" s="23">
        <v>81.39</v>
      </c>
      <c r="H26" s="20"/>
      <c r="I26" s="18"/>
      <c r="J26" s="18"/>
      <c r="K26" s="18"/>
      <c r="L26" s="18"/>
      <c r="M26" s="18"/>
      <c r="N26" s="18"/>
      <c r="O26" s="11"/>
      <c r="P26" s="11"/>
      <c r="Q26" s="11"/>
      <c r="R26" s="12"/>
      <c r="S26" s="13"/>
      <c r="T26" s="13"/>
      <c r="U26" s="13"/>
      <c r="V26" s="13"/>
      <c r="W26" s="19"/>
    </row>
    <row r="27" spans="1:23" ht="26">
      <c r="A27" s="7">
        <v>25</v>
      </c>
      <c r="B27" s="32" t="s">
        <v>57</v>
      </c>
      <c r="C27" s="30" t="s">
        <v>69</v>
      </c>
      <c r="D27" s="26" t="s">
        <v>64</v>
      </c>
      <c r="E27" s="9" t="s">
        <v>25</v>
      </c>
      <c r="F27" s="10">
        <f t="shared" si="1"/>
        <v>154.88999999999999</v>
      </c>
      <c r="G27" s="23">
        <v>154.88999999999999</v>
      </c>
      <c r="H27" s="18"/>
      <c r="I27" s="18"/>
      <c r="J27" s="18"/>
      <c r="K27" s="18"/>
      <c r="L27" s="18"/>
      <c r="M27" s="18"/>
      <c r="N27" s="18"/>
      <c r="O27" s="11"/>
      <c r="P27" s="11"/>
      <c r="Q27" s="11"/>
      <c r="R27" s="12"/>
      <c r="S27" s="13"/>
      <c r="T27" s="13"/>
      <c r="U27" s="13"/>
      <c r="V27" s="13"/>
      <c r="W27" s="19"/>
    </row>
    <row r="28" spans="1:23" ht="52">
      <c r="A28" s="7">
        <v>26</v>
      </c>
      <c r="B28" s="32" t="s">
        <v>57</v>
      </c>
      <c r="C28" s="27" t="s">
        <v>70</v>
      </c>
      <c r="D28" s="8" t="s">
        <v>71</v>
      </c>
      <c r="E28" s="9" t="s">
        <v>16</v>
      </c>
      <c r="F28" s="10">
        <f>SUM(G28:N28)</f>
        <v>819</v>
      </c>
      <c r="G28" s="22">
        <v>819</v>
      </c>
      <c r="H28" s="18"/>
      <c r="I28" s="18"/>
      <c r="J28" s="18"/>
      <c r="K28" s="18"/>
      <c r="L28" s="18"/>
      <c r="M28" s="18"/>
      <c r="N28" s="18"/>
      <c r="O28" s="11"/>
      <c r="P28" s="11"/>
      <c r="Q28" s="11"/>
      <c r="R28" s="12"/>
      <c r="S28" s="13"/>
      <c r="T28" s="13"/>
      <c r="U28" s="13"/>
      <c r="V28" s="13"/>
      <c r="W28" s="19"/>
    </row>
    <row r="29" spans="1:23" ht="26">
      <c r="A29" s="7">
        <v>27</v>
      </c>
      <c r="B29" s="32" t="s">
        <v>57</v>
      </c>
      <c r="C29" s="32" t="s">
        <v>73</v>
      </c>
      <c r="D29" s="8" t="s">
        <v>77</v>
      </c>
      <c r="E29" s="34" t="s">
        <v>29</v>
      </c>
      <c r="F29" s="10">
        <f>SUM(G29:N29)</f>
        <v>2645.74</v>
      </c>
      <c r="G29" s="35">
        <v>2645.74</v>
      </c>
      <c r="H29" s="18"/>
      <c r="I29" s="18"/>
      <c r="J29" s="18"/>
      <c r="K29" s="18"/>
      <c r="L29" s="18"/>
      <c r="M29" s="18"/>
      <c r="N29" s="18"/>
      <c r="O29" s="11"/>
      <c r="P29" s="11"/>
      <c r="Q29" s="11"/>
      <c r="R29" s="12"/>
      <c r="S29" s="13"/>
      <c r="T29" s="13"/>
      <c r="U29" s="13"/>
      <c r="V29" s="13"/>
      <c r="W29" s="19"/>
    </row>
    <row r="30" spans="1:23" ht="26">
      <c r="A30" s="7">
        <v>28</v>
      </c>
      <c r="B30" s="32" t="s">
        <v>57</v>
      </c>
      <c r="C30" s="32" t="s">
        <v>74</v>
      </c>
      <c r="D30" s="8" t="s">
        <v>78</v>
      </c>
      <c r="E30" s="34" t="s">
        <v>16</v>
      </c>
      <c r="F30" s="10">
        <f t="shared" ref="F30:F37" si="2">SUM(G30:N30)</f>
        <v>470.87</v>
      </c>
      <c r="G30" s="35">
        <v>470.87</v>
      </c>
      <c r="H30" s="18"/>
      <c r="I30" s="18"/>
      <c r="J30" s="18"/>
      <c r="K30" s="18"/>
      <c r="L30" s="18"/>
      <c r="M30" s="18"/>
      <c r="N30" s="18"/>
      <c r="O30" s="11"/>
      <c r="P30" s="11"/>
      <c r="Q30" s="11"/>
      <c r="R30" s="12"/>
      <c r="S30" s="13"/>
      <c r="T30" s="13"/>
      <c r="U30" s="13"/>
      <c r="V30" s="13"/>
      <c r="W30" s="19"/>
    </row>
    <row r="31" spans="1:23" ht="39">
      <c r="A31" s="7">
        <v>29</v>
      </c>
      <c r="B31" s="32" t="s">
        <v>57</v>
      </c>
      <c r="C31" s="32" t="s">
        <v>75</v>
      </c>
      <c r="D31" s="8" t="s">
        <v>79</v>
      </c>
      <c r="E31" s="34" t="s">
        <v>25</v>
      </c>
      <c r="F31" s="10">
        <f t="shared" si="2"/>
        <v>154.88999999999999</v>
      </c>
      <c r="G31" s="36">
        <v>154.88999999999999</v>
      </c>
      <c r="H31" s="18"/>
      <c r="I31" s="18"/>
      <c r="J31" s="18"/>
      <c r="K31" s="18"/>
      <c r="L31" s="18"/>
      <c r="M31" s="18"/>
      <c r="N31" s="18"/>
      <c r="O31" s="11"/>
      <c r="P31" s="11"/>
      <c r="Q31" s="11"/>
      <c r="R31" s="12"/>
      <c r="S31" s="13"/>
      <c r="T31" s="13"/>
      <c r="U31" s="13"/>
      <c r="V31" s="13"/>
      <c r="W31" s="19"/>
    </row>
    <row r="32" spans="1:23" ht="52">
      <c r="A32" s="7">
        <v>30</v>
      </c>
      <c r="B32" s="32" t="s">
        <v>57</v>
      </c>
      <c r="C32" s="32" t="s">
        <v>76</v>
      </c>
      <c r="D32" s="8" t="s">
        <v>80</v>
      </c>
      <c r="E32" s="34" t="s">
        <v>29</v>
      </c>
      <c r="F32" s="10">
        <f t="shared" si="2"/>
        <v>1155.54</v>
      </c>
      <c r="G32" s="35">
        <v>1155.54</v>
      </c>
      <c r="H32" s="18"/>
      <c r="I32" s="18"/>
      <c r="J32" s="18"/>
      <c r="K32" s="18"/>
      <c r="L32" s="18"/>
      <c r="M32" s="18"/>
      <c r="N32" s="18"/>
      <c r="O32" s="11"/>
      <c r="P32" s="11"/>
      <c r="Q32" s="11"/>
      <c r="R32" s="12"/>
      <c r="S32" s="13"/>
      <c r="T32" s="13"/>
      <c r="U32" s="13"/>
      <c r="V32" s="13"/>
      <c r="W32" s="19"/>
    </row>
    <row r="33" spans="1:23" ht="26.5">
      <c r="A33" s="7">
        <v>31</v>
      </c>
      <c r="B33" s="32" t="s">
        <v>57</v>
      </c>
      <c r="C33" s="32" t="s">
        <v>57</v>
      </c>
      <c r="D33" s="8" t="s">
        <v>81</v>
      </c>
      <c r="E33" s="34" t="s">
        <v>25</v>
      </c>
      <c r="F33" s="10">
        <f t="shared" si="2"/>
        <v>2645.74</v>
      </c>
      <c r="G33" s="22">
        <v>2645.74</v>
      </c>
      <c r="H33" s="18"/>
      <c r="I33" s="18"/>
      <c r="J33" s="18"/>
      <c r="K33" s="18"/>
      <c r="L33" s="18"/>
      <c r="M33" s="18"/>
      <c r="N33" s="18"/>
      <c r="O33" s="11"/>
      <c r="P33" s="11"/>
      <c r="Q33" s="11"/>
      <c r="R33" s="12"/>
      <c r="S33" s="13"/>
      <c r="T33" s="13"/>
      <c r="U33" s="13"/>
      <c r="V33" s="13"/>
      <c r="W33" s="19"/>
    </row>
    <row r="34" spans="1:23">
      <c r="A34" s="7">
        <v>32</v>
      </c>
      <c r="B34" s="33" t="s">
        <v>72</v>
      </c>
      <c r="C34" s="27" t="s">
        <v>32</v>
      </c>
      <c r="D34" s="8" t="s">
        <v>82</v>
      </c>
      <c r="E34" s="9" t="s">
        <v>22</v>
      </c>
      <c r="F34" s="10">
        <f t="shared" si="2"/>
        <v>766.84</v>
      </c>
      <c r="G34" s="22">
        <v>766.84</v>
      </c>
      <c r="H34" s="18"/>
      <c r="I34" s="18"/>
      <c r="J34" s="18"/>
      <c r="K34" s="18"/>
      <c r="L34" s="18"/>
      <c r="M34" s="18"/>
      <c r="N34" s="18"/>
      <c r="O34" s="11"/>
      <c r="P34" s="11"/>
      <c r="Q34" s="11"/>
      <c r="R34" s="12"/>
      <c r="S34" s="13"/>
      <c r="T34" s="13"/>
      <c r="U34" s="13"/>
      <c r="V34" s="13"/>
      <c r="W34" s="6"/>
    </row>
    <row r="35" spans="1:23" ht="65">
      <c r="A35" s="7">
        <v>33</v>
      </c>
      <c r="B35" s="33" t="s">
        <v>72</v>
      </c>
      <c r="C35" s="27" t="s">
        <v>33</v>
      </c>
      <c r="D35" s="8" t="s">
        <v>83</v>
      </c>
      <c r="E35" s="9" t="s">
        <v>31</v>
      </c>
      <c r="F35" s="10">
        <f t="shared" si="2"/>
        <v>20</v>
      </c>
      <c r="G35" s="24">
        <v>20</v>
      </c>
      <c r="H35" s="18"/>
      <c r="I35" s="18"/>
      <c r="J35" s="18"/>
      <c r="K35" s="18"/>
      <c r="L35" s="18"/>
      <c r="M35" s="18"/>
      <c r="N35" s="18"/>
      <c r="O35" s="11"/>
      <c r="P35" s="11"/>
      <c r="Q35" s="11"/>
      <c r="R35" s="12"/>
      <c r="S35" s="13"/>
      <c r="T35" s="13"/>
      <c r="U35" s="13"/>
      <c r="V35" s="13"/>
      <c r="W35" s="6"/>
    </row>
    <row r="36" spans="1:23" ht="52">
      <c r="A36" s="7">
        <v>34</v>
      </c>
      <c r="B36" s="33" t="s">
        <v>72</v>
      </c>
      <c r="C36" s="30" t="s">
        <v>84</v>
      </c>
      <c r="D36" s="8" t="s">
        <v>80</v>
      </c>
      <c r="E36" s="9" t="s">
        <v>16</v>
      </c>
      <c r="F36" s="10">
        <f t="shared" si="2"/>
        <v>327.18</v>
      </c>
      <c r="G36" s="22">
        <v>327.18</v>
      </c>
      <c r="H36" s="18"/>
      <c r="I36" s="18"/>
      <c r="J36" s="18"/>
      <c r="K36" s="18"/>
      <c r="L36" s="18"/>
      <c r="M36" s="18"/>
      <c r="N36" s="18"/>
      <c r="O36" s="11"/>
      <c r="P36" s="11"/>
      <c r="Q36" s="11"/>
      <c r="R36" s="12"/>
      <c r="S36" s="13"/>
      <c r="T36" s="13"/>
      <c r="U36" s="13"/>
      <c r="V36" s="13"/>
      <c r="W36" s="6"/>
    </row>
    <row r="37" spans="1:23" ht="26">
      <c r="A37" s="7">
        <v>35</v>
      </c>
      <c r="B37" s="33" t="s">
        <v>72</v>
      </c>
      <c r="C37" s="27" t="s">
        <v>85</v>
      </c>
      <c r="D37" s="8" t="s">
        <v>86</v>
      </c>
      <c r="E37" s="9" t="s">
        <v>22</v>
      </c>
      <c r="F37" s="10">
        <f t="shared" si="2"/>
        <v>17.66</v>
      </c>
      <c r="G37" s="22">
        <v>17.66</v>
      </c>
      <c r="H37" s="18"/>
      <c r="I37" s="18"/>
      <c r="J37" s="18"/>
      <c r="K37" s="18"/>
      <c r="L37" s="18"/>
      <c r="M37" s="18"/>
      <c r="N37" s="18"/>
      <c r="O37" s="11"/>
      <c r="P37" s="11"/>
      <c r="Q37" s="11"/>
      <c r="R37" s="12"/>
      <c r="S37" s="13"/>
      <c r="T37" s="13"/>
      <c r="U37" s="13"/>
      <c r="V37" s="13"/>
      <c r="W37" s="6"/>
    </row>
    <row r="38" spans="1:23" ht="26">
      <c r="A38" s="7">
        <v>36</v>
      </c>
      <c r="B38" s="33" t="s">
        <v>72</v>
      </c>
      <c r="C38" s="27" t="s">
        <v>87</v>
      </c>
      <c r="D38" s="8" t="s">
        <v>88</v>
      </c>
      <c r="E38" s="9" t="s">
        <v>22</v>
      </c>
      <c r="F38" s="10">
        <f t="shared" ref="F38:F39" si="3">SUM(G38:N38)</f>
        <v>18.66</v>
      </c>
      <c r="G38" s="22">
        <v>18.66</v>
      </c>
      <c r="H38" s="18"/>
      <c r="I38" s="18"/>
      <c r="J38" s="18"/>
      <c r="K38" s="18"/>
      <c r="L38" s="18"/>
      <c r="M38" s="18"/>
      <c r="N38" s="18"/>
      <c r="O38" s="11"/>
      <c r="P38" s="11"/>
      <c r="Q38" s="11"/>
      <c r="R38" s="12"/>
      <c r="S38" s="13"/>
      <c r="T38" s="13"/>
      <c r="U38" s="13"/>
      <c r="V38" s="13"/>
      <c r="W38" s="6"/>
    </row>
    <row r="39" spans="1:23">
      <c r="A39" s="7">
        <v>37</v>
      </c>
      <c r="B39" s="33" t="s">
        <v>72</v>
      </c>
      <c r="C39" s="27" t="s">
        <v>89</v>
      </c>
      <c r="D39" s="8" t="s">
        <v>90</v>
      </c>
      <c r="E39" s="9" t="s">
        <v>22</v>
      </c>
      <c r="F39" s="10">
        <f t="shared" si="3"/>
        <v>19.66</v>
      </c>
      <c r="G39" s="22">
        <v>19.66</v>
      </c>
      <c r="H39" s="18"/>
      <c r="I39" s="18"/>
      <c r="J39" s="18"/>
      <c r="K39" s="18"/>
      <c r="L39" s="18"/>
      <c r="M39" s="18"/>
      <c r="N39" s="18"/>
      <c r="O39" s="11"/>
      <c r="P39" s="11"/>
      <c r="Q39" s="11"/>
      <c r="R39" s="12"/>
      <c r="S39" s="13"/>
      <c r="T39" s="13"/>
      <c r="U39" s="13"/>
      <c r="V39" s="13"/>
      <c r="W39" s="6"/>
    </row>
  </sheetData>
  <mergeCells count="1">
    <mergeCell ref="B1:V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劳务目标成本测算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Ma</dc:creator>
  <cp:lastModifiedBy>Zhihao Ma</cp:lastModifiedBy>
  <dcterms:created xsi:type="dcterms:W3CDTF">2015-06-05T18:19:34Z</dcterms:created>
  <dcterms:modified xsi:type="dcterms:W3CDTF">2026-04-29T02:08:00Z</dcterms:modified>
</cp:coreProperties>
</file>